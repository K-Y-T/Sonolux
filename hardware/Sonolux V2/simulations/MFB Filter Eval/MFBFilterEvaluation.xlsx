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eacuk-my.sharepoint.com/personal/yasandu2_kalansooriyage_live_uwe_ac_uk/Documents/Sonolux/hardware/Sonolux V2/simulations/"/>
    </mc:Choice>
  </mc:AlternateContent>
  <xr:revisionPtr revIDLastSave="3" documentId="8_{EB26B5DB-F88C-4E39-9D3F-04EBBA55856E}" xr6:coauthVersionLast="47" xr6:coauthVersionMax="47" xr10:uidLastSave="{26966B4F-3342-4BEA-ACA8-F2559179AFC2}"/>
  <bookViews>
    <workbookView xWindow="-108" yWindow="-108" windowWidth="23256" windowHeight="12456" xr2:uid="{C35C7FE4-5087-48B9-BE0F-06879A5A9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H5" i="1"/>
  <c r="H6" i="1"/>
  <c r="H7" i="1"/>
  <c r="I4" i="1"/>
  <c r="H4" i="1"/>
  <c r="G5" i="1"/>
  <c r="G6" i="1"/>
  <c r="G7" i="1"/>
  <c r="G4" i="1"/>
</calcChain>
</file>

<file path=xl/sharedStrings.xml><?xml version="1.0" encoding="utf-8"?>
<sst xmlns="http://schemas.openxmlformats.org/spreadsheetml/2006/main" count="9" uniqueCount="9">
  <si>
    <t>Candidate Number</t>
  </si>
  <si>
    <t>Q</t>
  </si>
  <si>
    <t>Average Crossover</t>
  </si>
  <si>
    <t>Min. Crossover</t>
  </si>
  <si>
    <t>Max. Crossover</t>
  </si>
  <si>
    <t>Notes</t>
  </si>
  <si>
    <t>Crossovers</t>
  </si>
  <si>
    <t>Selected</t>
  </si>
  <si>
    <t>MFB Filter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</si>
</sst>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8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166" fontId="0" fillId="0" borderId="2" xfId="0" applyNumberFormat="1" applyBorder="1"/>
    <xf numFmtId="166" fontId="0" fillId="0" borderId="3" xfId="0" applyNumberFormat="1" applyBorder="1"/>
    <xf numFmtId="166" fontId="0" fillId="2" borderId="3" xfId="0" applyNumberFormat="1" applyFill="1" applyBorder="1"/>
    <xf numFmtId="166" fontId="0" fillId="0" borderId="4" xfId="0" applyNumberFormat="1" applyBorder="1"/>
    <xf numFmtId="168" fontId="0" fillId="0" borderId="2" xfId="0" applyNumberFormat="1" applyBorder="1"/>
    <xf numFmtId="168" fontId="0" fillId="0" borderId="3" xfId="0" applyNumberFormat="1" applyBorder="1"/>
    <xf numFmtId="168" fontId="0" fillId="2" borderId="3" xfId="0" applyNumberFormat="1" applyFill="1" applyBorder="1"/>
    <xf numFmtId="168" fontId="0" fillId="0" borderId="4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2" borderId="3" xfId="0" applyNumberFormat="1" applyFill="1" applyBorder="1"/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883920</xdr:colOff>
      <xdr:row>8</xdr:row>
      <xdr:rowOff>68580</xdr:rowOff>
    </xdr:from>
    <xdr:to>
      <xdr:col>8</xdr:col>
      <xdr:colOff>442454</xdr:colOff>
      <xdr:row>15</xdr:row>
      <xdr:rowOff>15346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49AE1-4130-C6EF-3848-1FE9A18E9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1531620"/>
          <a:ext cx="5700254" cy="1226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1BB4-CFBF-43D4-AB7E-BDC422CC29E4}">
  <dimension ref="A1:J7"/>
  <sheetViews>
    <sheetView tabSelected="1" workbookViewId="0">
      <selection activeCell="N12" sqref="N12"/>
    </sheetView>
  </sheetViews>
  <sheetFormatPr defaultRowHeight="14.4" x14ac:dyDescent="0.3"/>
  <cols>
    <col min="1" max="1" width="16.21875" bestFit="1" customWidth="1"/>
    <col min="7" max="7" width="16" bestFit="1" customWidth="1"/>
    <col min="8" max="8" width="12.88671875" bestFit="1" customWidth="1"/>
    <col min="9" max="9" width="13.33203125" bestFit="1" customWidth="1"/>
  </cols>
  <sheetData>
    <row r="1" spans="1:10" x14ac:dyDescent="0.3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0</v>
      </c>
      <c r="B2" s="3" t="s">
        <v>1</v>
      </c>
      <c r="C2" s="3" t="s">
        <v>6</v>
      </c>
      <c r="D2" s="3"/>
      <c r="E2" s="3"/>
      <c r="F2" s="3"/>
      <c r="G2" s="3" t="s">
        <v>2</v>
      </c>
      <c r="H2" s="3" t="s">
        <v>3</v>
      </c>
      <c r="I2" s="3" t="s">
        <v>4</v>
      </c>
      <c r="J2" s="3" t="s">
        <v>5</v>
      </c>
    </row>
    <row r="3" spans="1:10" x14ac:dyDescent="0.3">
      <c r="A3" s="3"/>
      <c r="B3" s="3"/>
      <c r="C3" s="4">
        <v>1</v>
      </c>
      <c r="D3" s="4">
        <v>2</v>
      </c>
      <c r="E3" s="4">
        <v>3</v>
      </c>
      <c r="F3" s="4">
        <v>4</v>
      </c>
      <c r="G3" s="3"/>
      <c r="H3" s="3"/>
      <c r="I3" s="3"/>
      <c r="J3" s="3"/>
    </row>
    <row r="4" spans="1:10" x14ac:dyDescent="0.3">
      <c r="A4" s="5">
        <v>1</v>
      </c>
      <c r="B4" s="9">
        <v>0.8</v>
      </c>
      <c r="C4" s="13">
        <v>-3.7189999999999999</v>
      </c>
      <c r="D4" s="13">
        <v>-4.4423000000000004</v>
      </c>
      <c r="E4" s="13">
        <v>-4.4486999999999997</v>
      </c>
      <c r="F4" s="13">
        <v>-3.4278</v>
      </c>
      <c r="G4" s="17">
        <f>AVERAGE(C4:F4)</f>
        <v>-4.0094500000000002</v>
      </c>
      <c r="H4" s="17">
        <f>MIN(C4:F4)</f>
        <v>-4.4486999999999997</v>
      </c>
      <c r="I4" s="17">
        <f>MAX(C4:F4)</f>
        <v>-3.4278</v>
      </c>
      <c r="J4" s="5"/>
    </row>
    <row r="5" spans="1:10" x14ac:dyDescent="0.3">
      <c r="A5" s="6">
        <v>2</v>
      </c>
      <c r="B5" s="10">
        <v>1</v>
      </c>
      <c r="C5" s="14">
        <v>-5.0536000000000003</v>
      </c>
      <c r="D5" s="14">
        <v>-5.3964999999999996</v>
      </c>
      <c r="E5" s="14">
        <v>-5.6189</v>
      </c>
      <c r="F5" s="14">
        <v>-5.0091999999999999</v>
      </c>
      <c r="G5" s="18">
        <f t="shared" ref="G5:G7" si="0">AVERAGE(C5:F5)</f>
        <v>-5.2695499999999997</v>
      </c>
      <c r="H5" s="18">
        <f t="shared" ref="H5:H7" si="1">MIN(C5:F5)</f>
        <v>-5.6189</v>
      </c>
      <c r="I5" s="18">
        <f t="shared" ref="I5:I7" si="2">MAX(C5:F5)</f>
        <v>-5.0091999999999999</v>
      </c>
      <c r="J5" s="6"/>
    </row>
    <row r="6" spans="1:10" x14ac:dyDescent="0.3">
      <c r="A6" s="7">
        <v>3</v>
      </c>
      <c r="B6" s="11">
        <v>1.2</v>
      </c>
      <c r="C6" s="15">
        <v>-5.7576000000000001</v>
      </c>
      <c r="D6" s="15">
        <v>-6.4105999999999996</v>
      </c>
      <c r="E6" s="15">
        <v>-6.7263999999999999</v>
      </c>
      <c r="F6" s="15">
        <v>-6.3502000000000001</v>
      </c>
      <c r="G6" s="19">
        <f t="shared" si="0"/>
        <v>-6.3111999999999995</v>
      </c>
      <c r="H6" s="19">
        <f t="shared" si="1"/>
        <v>-6.7263999999999999</v>
      </c>
      <c r="I6" s="19">
        <f t="shared" si="2"/>
        <v>-5.7576000000000001</v>
      </c>
      <c r="J6" s="7" t="s">
        <v>7</v>
      </c>
    </row>
    <row r="7" spans="1:10" x14ac:dyDescent="0.3">
      <c r="A7" s="8">
        <v>4</v>
      </c>
      <c r="B7" s="12">
        <v>1.4</v>
      </c>
      <c r="C7" s="16">
        <v>-7.6369999999999996</v>
      </c>
      <c r="D7" s="16">
        <v>-7.8423999999999996</v>
      </c>
      <c r="E7" s="16">
        <v>-7.7282000000000002</v>
      </c>
      <c r="F7" s="16">
        <v>-6.8936999999999999</v>
      </c>
      <c r="G7" s="20">
        <f t="shared" si="0"/>
        <v>-7.5253249999999996</v>
      </c>
      <c r="H7" s="20">
        <f t="shared" si="1"/>
        <v>-7.8423999999999996</v>
      </c>
      <c r="I7" s="20">
        <f t="shared" si="2"/>
        <v>-6.8936999999999999</v>
      </c>
      <c r="J7" s="8"/>
    </row>
  </sheetData>
  <mergeCells count="8">
    <mergeCell ref="J2:J3"/>
    <mergeCell ref="A1:J1"/>
    <mergeCell ref="C2:F2"/>
    <mergeCell ref="B2:B3"/>
    <mergeCell ref="A2:A3"/>
    <mergeCell ref="G2:G3"/>
    <mergeCell ref="H2:H3"/>
    <mergeCell ref="I2:I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7ef1208-413c-4b5e-9cdd-64ef305754f0}" enabled="0" method="" siteId="{07ef1208-413c-4b5e-9cdd-64ef305754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Yasandu Kalansooriyage (Student)</dc:creator>
  <cp:lastModifiedBy>Yasandu Kalansooriyage (Student)</cp:lastModifiedBy>
  <dcterms:created xsi:type="dcterms:W3CDTF">2026-07-07T14:47:34Z</dcterms:created>
  <dcterms:modified xsi:type="dcterms:W3CDTF">2026-07-07T14:56:25Z</dcterms:modified>
</cp:coreProperties>
</file>